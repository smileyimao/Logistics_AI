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Sheet1!$A$1:$BZT$15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圣瑞开票：备注：
单位：票
购方开户银行:-; 银行账号:-;
销方开户银行: 中国民生银行股份有限公司深圳宝安中心区支行
银行账号:613376888
青岛海的——发票备注收款银行
曲阳恒通——发票备注收款银行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</t>
        </r>
      </text>
    </comment>
    <comment ref="D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D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客户需要付报关费给报关行</t>
        </r>
      </text>
    </comment>
    <comment ref="D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已录系统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<sst xmlns="http://schemas.openxmlformats.org/spreadsheetml/2006/main" count="128" uniqueCount="92">
  <si>
    <t>时间</t>
  </si>
  <si>
    <t>业务员</t>
  </si>
  <si>
    <t>客户公司</t>
  </si>
  <si>
    <t>原单号</t>
  </si>
  <si>
    <t>转单号</t>
  </si>
  <si>
    <t>渠道</t>
  </si>
  <si>
    <t>目的国</t>
  </si>
  <si>
    <t>邮编</t>
  </si>
  <si>
    <t>收款金额</t>
  </si>
  <si>
    <t>水单</t>
  </si>
  <si>
    <t>收款方式</t>
  </si>
  <si>
    <t>是否开票</t>
  </si>
  <si>
    <t>付款金额</t>
  </si>
  <si>
    <t>是否已付</t>
  </si>
  <si>
    <t>杂费</t>
  </si>
  <si>
    <t>备注</t>
  </si>
  <si>
    <t>是否买保险</t>
  </si>
  <si>
    <t>实重</t>
  </si>
  <si>
    <t>材积</t>
  </si>
  <si>
    <t>收货总重量(kg)</t>
  </si>
  <si>
    <t>件数</t>
  </si>
  <si>
    <t>出货重量</t>
  </si>
  <si>
    <t>毛利</t>
  </si>
  <si>
    <t>利率</t>
  </si>
  <si>
    <t>代理</t>
  </si>
  <si>
    <t>木架5.7</t>
  </si>
  <si>
    <t>是否单证</t>
  </si>
  <si>
    <t>出货日期</t>
  </si>
  <si>
    <t>序号</t>
  </si>
  <si>
    <t>业务1</t>
  </si>
  <si>
    <t>客户1</t>
  </si>
  <si>
    <t>原单号1</t>
  </si>
  <si>
    <t>AN305</t>
  </si>
  <si>
    <t>意大利</t>
  </si>
  <si>
    <t>√（5.8）</t>
  </si>
  <si>
    <t>对公1</t>
  </si>
  <si>
    <t>5.9已开票</t>
  </si>
  <si>
    <t xml:space="preserve">木架150 </t>
  </si>
  <si>
    <t>151KG</t>
  </si>
  <si>
    <t>顺和盈</t>
  </si>
  <si>
    <t>5.8</t>
  </si>
  <si>
    <t>业务2</t>
  </si>
  <si>
    <t>客户2</t>
  </si>
  <si>
    <t>原单号2</t>
  </si>
  <si>
    <t>AN309</t>
  </si>
  <si>
    <t>美国</t>
  </si>
  <si>
    <t>美新</t>
  </si>
  <si>
    <t>客户3</t>
  </si>
  <si>
    <t>原单号3</t>
  </si>
  <si>
    <t>AN310</t>
  </si>
  <si>
    <t>澳大利亚</t>
  </si>
  <si>
    <t>√（5.9）</t>
  </si>
  <si>
    <t>5.11已开票</t>
  </si>
  <si>
    <t xml:space="preserve">木架126 </t>
  </si>
  <si>
    <t>239kg</t>
  </si>
  <si>
    <t>世诚</t>
  </si>
  <si>
    <t>5.9</t>
  </si>
  <si>
    <t>客户4</t>
  </si>
  <si>
    <t>原单号4</t>
  </si>
  <si>
    <t>AN311</t>
  </si>
  <si>
    <t>支付宝</t>
  </si>
  <si>
    <t xml:space="preserve">木架125 </t>
  </si>
  <si>
    <t>业务3</t>
  </si>
  <si>
    <t>原单号5</t>
  </si>
  <si>
    <t>AN312</t>
  </si>
  <si>
    <t>德国</t>
  </si>
  <si>
    <t>保险80</t>
  </si>
  <si>
    <t>是</t>
  </si>
  <si>
    <t>328KG</t>
  </si>
  <si>
    <t>单证报关</t>
  </si>
  <si>
    <t>5.11</t>
  </si>
  <si>
    <t>业务4</t>
  </si>
  <si>
    <t>原单号6</t>
  </si>
  <si>
    <t>AN313</t>
  </si>
  <si>
    <t>欧象</t>
  </si>
  <si>
    <t>业务7</t>
  </si>
  <si>
    <t>客户7</t>
  </si>
  <si>
    <t>原单号7</t>
  </si>
  <si>
    <t>AN314</t>
  </si>
  <si>
    <t>客户8</t>
  </si>
  <si>
    <t>原单号8</t>
  </si>
  <si>
    <t>AN315</t>
  </si>
  <si>
    <t>UPS</t>
  </si>
  <si>
    <t>加拿大</t>
  </si>
  <si>
    <t>飞翔达</t>
  </si>
  <si>
    <t>原单号9</t>
  </si>
  <si>
    <t>AN316</t>
  </si>
  <si>
    <t>送货60</t>
  </si>
  <si>
    <t>1.370方</t>
  </si>
  <si>
    <t>嘉顺恒通</t>
  </si>
  <si>
    <t>原单号10</t>
  </si>
  <si>
    <t>AN317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</si>
</sst>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  <numFmt numFmtId="178" formatCode="[$¥-804]#,##0.00;[Red][$¥-804]\-#,##0.00"/>
  </numFmts>
  <fonts count="29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8"/>
      <color rgb="FF000000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8"/>
      <color theme="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rgb="FF7030A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8" fontId="5" fillId="4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178" fontId="7" fillId="0" borderId="1" xfId="0" applyNumberFormat="1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C00000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tabSelected="1" workbookViewId="0">
      <selection activeCell="R17" sqref="R17"/>
    </sheetView>
  </sheetViews>
  <sheetFormatPr defaultColWidth="9" defaultRowHeight="11.25"/>
  <cols>
    <col min="1" max="1" width="9" style="3" customWidth="1"/>
    <col min="2" max="2" width="6.875" style="4" customWidth="1"/>
    <col min="3" max="3" width="10.75" style="4" customWidth="1"/>
    <col min="4" max="4" width="13.875" style="4" customWidth="1"/>
    <col min="5" max="5" width="14.875" style="4" customWidth="1"/>
    <col min="6" max="6" width="5" style="4" customWidth="1"/>
    <col min="7" max="7" width="6.5" style="4" customWidth="1"/>
    <col min="8" max="8" width="3.875" style="5" customWidth="1"/>
    <col min="9" max="9" width="9.375" style="4" customWidth="1"/>
    <col min="10" max="10" width="7.625" style="4" customWidth="1"/>
    <col min="11" max="11" width="8.5" style="4" customWidth="1"/>
    <col min="12" max="12" width="5.875" style="1" customWidth="1"/>
    <col min="13" max="13" width="9" style="4" customWidth="1"/>
    <col min="14" max="14" width="6.75" style="6" customWidth="1"/>
    <col min="15" max="15" width="8" style="6" customWidth="1"/>
    <col min="16" max="16" width="5.75" style="5" customWidth="1"/>
    <col min="17" max="17" width="12.25" style="7" customWidth="1"/>
    <col min="18" max="18" width="4.375" style="4" customWidth="1"/>
    <col min="19" max="20" width="4.875" style="4" customWidth="1"/>
    <col min="21" max="21" width="5.125" style="4" customWidth="1"/>
    <col min="22" max="22" width="4.875" style="4" customWidth="1"/>
    <col min="23" max="23" width="5.625" style="4" customWidth="1"/>
    <col min="24" max="24" width="10.375" style="5"/>
    <col min="25" max="25" width="9" style="5"/>
    <col min="26" max="26" width="9.375" style="4" customWidth="1"/>
    <col min="27" max="27" width="6.625" style="5" customWidth="1"/>
    <col min="28" max="28" width="4.625" style="5" customWidth="1"/>
    <col min="29" max="29" width="4.875" style="8" customWidth="1"/>
    <col min="30" max="30" width="5.375" style="5" customWidth="1"/>
    <col min="31" max="16384" width="9" style="5"/>
  </cols>
  <sheetData>
    <row r="1" s="1" customFormat="1" ht="40.5" customHeight="1" spans="1:3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4" t="s">
        <v>10</v>
      </c>
      <c r="P1" s="10" t="s">
        <v>14</v>
      </c>
      <c r="Q1" s="15" t="s">
        <v>15</v>
      </c>
      <c r="R1" s="15" t="s">
        <v>16</v>
      </c>
      <c r="S1" s="10" t="s">
        <v>17</v>
      </c>
      <c r="T1" s="10" t="s">
        <v>18</v>
      </c>
      <c r="U1" s="11" t="s">
        <v>19</v>
      </c>
      <c r="V1" s="10" t="s">
        <v>20</v>
      </c>
      <c r="W1" s="10" t="s">
        <v>21</v>
      </c>
      <c r="X1" s="16" t="s">
        <v>22</v>
      </c>
      <c r="Y1" s="17" t="s">
        <v>23</v>
      </c>
      <c r="Z1" s="10" t="s">
        <v>24</v>
      </c>
      <c r="AA1" s="18" t="s">
        <v>25</v>
      </c>
      <c r="AB1" s="19" t="s">
        <v>26</v>
      </c>
      <c r="AC1" s="20" t="s">
        <v>27</v>
      </c>
      <c r="AD1" s="21" t="s">
        <v>28</v>
      </c>
    </row>
    <row r="2" s="2" customFormat="1" ht="28" customHeight="1" spans="1:31">
      <c r="A2" s="22">
        <v>46149</v>
      </c>
      <c r="B2" s="23" t="s">
        <v>29</v>
      </c>
      <c r="C2" s="23" t="s">
        <v>30</v>
      </c>
      <c r="D2" s="23" t="s">
        <v>31</v>
      </c>
      <c r="E2" s="23" t="s">
        <v>32</v>
      </c>
      <c r="F2" s="24"/>
      <c r="G2" s="23" t="s">
        <v>33</v>
      </c>
      <c r="H2" s="24"/>
      <c r="I2" s="25">
        <v>2699</v>
      </c>
      <c r="J2" s="23" t="s">
        <v>34</v>
      </c>
      <c r="K2" s="23" t="s">
        <v>35</v>
      </c>
      <c r="L2" s="26" t="s">
        <v>36</v>
      </c>
      <c r="M2" s="25"/>
      <c r="N2" s="27"/>
      <c r="O2" s="27"/>
      <c r="P2" s="28" cm="1">
        <f t="array" ref="P2">_xlfn.IFNA(SUM(_wpsfn.REGEXP(Q2,"[\d.]+")*1,),0)</f>
        <v>150</v>
      </c>
      <c r="Q2" s="29" t="s">
        <v>37</v>
      </c>
      <c r="R2" s="23"/>
      <c r="S2" s="23">
        <v>133</v>
      </c>
      <c r="T2" s="23"/>
      <c r="U2" s="23"/>
      <c r="V2" s="23">
        <v>1</v>
      </c>
      <c r="W2" s="23" t="s">
        <v>38</v>
      </c>
      <c r="X2" s="30">
        <f>I2-M2-P2</f>
        <v>2549</v>
      </c>
      <c r="Y2" s="31">
        <f>X2/I2</f>
        <v>0.944423860689144</v>
      </c>
      <c r="Z2" s="23" t="s">
        <v>39</v>
      </c>
      <c r="AA2" s="5"/>
      <c r="AB2" s="5"/>
      <c r="AC2" s="8" t="s">
        <v>40</v>
      </c>
      <c r="AD2" s="32">
        <v>77</v>
      </c>
      <c r="AE2" s="5"/>
    </row>
    <row r="3" s="2" customFormat="1" ht="28" customHeight="1" spans="1:31">
      <c r="A3" s="22">
        <v>46149</v>
      </c>
      <c r="B3" s="23" t="s">
        <v>41</v>
      </c>
      <c r="C3" s="23" t="s">
        <v>42</v>
      </c>
      <c r="D3" s="23" t="s">
        <v>43</v>
      </c>
      <c r="E3" s="23" t="s">
        <v>44</v>
      </c>
      <c r="F3" s="24"/>
      <c r="G3" s="23" t="s">
        <v>45</v>
      </c>
      <c r="H3" s="24"/>
      <c r="I3" s="25"/>
      <c r="J3" s="23"/>
      <c r="K3" s="23"/>
      <c r="L3" s="26"/>
      <c r="M3" s="25"/>
      <c r="N3" s="27"/>
      <c r="O3" s="27"/>
      <c r="P3" s="28" cm="1">
        <f t="array" ref="P3">_xlfn.IFNA(SUM(_wpsfn.REGEXP(Q3,"[\d.]+")*1,),0)</f>
        <v>0</v>
      </c>
      <c r="Q3" s="29"/>
      <c r="R3" s="23"/>
      <c r="S3" s="23">
        <v>147</v>
      </c>
      <c r="T3" s="23"/>
      <c r="U3" s="23"/>
      <c r="V3" s="23">
        <v>1</v>
      </c>
      <c r="W3" s="23">
        <v>152</v>
      </c>
      <c r="X3" s="30">
        <f>I3-M3-P3</f>
        <v>0</v>
      </c>
      <c r="Y3" s="31" t="e">
        <f>X3/I3</f>
        <v>#DIV/0!</v>
      </c>
      <c r="Z3" s="23" t="s">
        <v>46</v>
      </c>
      <c r="AA3" s="5"/>
      <c r="AB3" s="5"/>
      <c r="AC3" s="8" t="s">
        <v>40</v>
      </c>
      <c r="AD3" s="32">
        <v>84</v>
      </c>
      <c r="AE3" s="5"/>
    </row>
    <row r="4" s="2" customFormat="1" ht="28" customHeight="1" spans="1:31">
      <c r="A4" s="22">
        <v>46149</v>
      </c>
      <c r="B4" s="23" t="s">
        <v>41</v>
      </c>
      <c r="C4" s="23" t="s">
        <v>47</v>
      </c>
      <c r="D4" s="23" t="s">
        <v>48</v>
      </c>
      <c r="E4" s="23" t="s">
        <v>49</v>
      </c>
      <c r="F4" s="24"/>
      <c r="G4" s="23" t="s">
        <v>50</v>
      </c>
      <c r="H4" s="24"/>
      <c r="I4" s="25">
        <v>3235</v>
      </c>
      <c r="J4" s="23" t="s">
        <v>51</v>
      </c>
      <c r="K4" s="23" t="s">
        <v>35</v>
      </c>
      <c r="L4" s="26" t="s">
        <v>52</v>
      </c>
      <c r="M4" s="25"/>
      <c r="N4" s="27"/>
      <c r="O4" s="27"/>
      <c r="P4" s="28" cm="1">
        <f t="array" ref="P4">_xlfn.IFNA(SUM(_wpsfn.REGEXP(Q4,"[\d.]+")*1,),0)</f>
        <v>126</v>
      </c>
      <c r="Q4" s="29" t="s">
        <v>53</v>
      </c>
      <c r="R4" s="23"/>
      <c r="S4" s="23">
        <v>138</v>
      </c>
      <c r="T4" s="23"/>
      <c r="U4" s="23"/>
      <c r="V4" s="23">
        <v>3</v>
      </c>
      <c r="W4" s="23" t="s">
        <v>54</v>
      </c>
      <c r="X4" s="30">
        <f>I4-M4-P4</f>
        <v>3109</v>
      </c>
      <c r="Y4" s="31">
        <f>X4/I4</f>
        <v>0.961051004636785</v>
      </c>
      <c r="Z4" s="23" t="s">
        <v>55</v>
      </c>
      <c r="AA4" s="5"/>
      <c r="AB4" s="5"/>
      <c r="AC4" s="8" t="s">
        <v>56</v>
      </c>
      <c r="AD4" s="32">
        <v>85</v>
      </c>
      <c r="AE4" s="5"/>
    </row>
    <row r="5" s="2" customFormat="1" ht="28" customHeight="1" spans="1:31">
      <c r="A5" s="22">
        <v>46149</v>
      </c>
      <c r="B5" s="23" t="s">
        <v>41</v>
      </c>
      <c r="C5" s="23" t="s">
        <v>57</v>
      </c>
      <c r="D5" s="23" t="s">
        <v>58</v>
      </c>
      <c r="E5" s="23" t="s">
        <v>59</v>
      </c>
      <c r="F5" s="24"/>
      <c r="G5" s="23" t="s">
        <v>45</v>
      </c>
      <c r="H5" s="24"/>
      <c r="I5" s="25">
        <v>1786.5</v>
      </c>
      <c r="J5" s="23" t="s">
        <v>34</v>
      </c>
      <c r="K5" s="23" t="s">
        <v>60</v>
      </c>
      <c r="L5" s="26"/>
      <c r="M5" s="25"/>
      <c r="N5" s="27"/>
      <c r="O5" s="27"/>
      <c r="P5" s="28" cm="1">
        <f t="array" ref="P5">_xlfn.IFNA(SUM(_wpsfn.REGEXP(Q5,"[\d.]+")*1,),0)</f>
        <v>125</v>
      </c>
      <c r="Q5" s="29" t="s">
        <v>61</v>
      </c>
      <c r="R5" s="23"/>
      <c r="S5" s="23">
        <v>72</v>
      </c>
      <c r="T5" s="23"/>
      <c r="U5" s="23"/>
      <c r="V5" s="23">
        <v>2</v>
      </c>
      <c r="W5" s="23"/>
      <c r="X5" s="30">
        <f>I5-M5-P5</f>
        <v>1661.5</v>
      </c>
      <c r="Y5" s="31">
        <f>X5/I5</f>
        <v>0.93003078645396</v>
      </c>
      <c r="Z5" s="23" t="s">
        <v>46</v>
      </c>
      <c r="AA5" s="5"/>
      <c r="AB5" s="5"/>
      <c r="AC5" s="8" t="s">
        <v>40</v>
      </c>
      <c r="AD5" s="32">
        <v>86</v>
      </c>
      <c r="AE5" s="5"/>
    </row>
    <row r="6" s="2" customFormat="1" ht="28" customHeight="1" spans="1:31">
      <c r="A6" s="22">
        <v>46150</v>
      </c>
      <c r="B6" s="23" t="s">
        <v>62</v>
      </c>
      <c r="C6" s="23" t="s">
        <v>30</v>
      </c>
      <c r="D6" s="23" t="s">
        <v>63</v>
      </c>
      <c r="E6" s="23" t="s">
        <v>64</v>
      </c>
      <c r="F6" s="24"/>
      <c r="G6" s="23" t="s">
        <v>65</v>
      </c>
      <c r="H6" s="24"/>
      <c r="I6" s="25"/>
      <c r="J6" s="23"/>
      <c r="K6" s="23"/>
      <c r="L6" s="26"/>
      <c r="M6" s="25"/>
      <c r="N6" s="27"/>
      <c r="O6" s="27"/>
      <c r="P6" s="28" cm="1">
        <f t="array" ref="P6">_xlfn.IFNA(SUM(_wpsfn.REGEXP(Q6,"[\d.]+")*1,),0)</f>
        <v>80</v>
      </c>
      <c r="Q6" s="29" t="s">
        <v>66</v>
      </c>
      <c r="R6" s="23" t="s">
        <v>67</v>
      </c>
      <c r="S6" s="23">
        <v>328</v>
      </c>
      <c r="T6" s="23"/>
      <c r="U6" s="23"/>
      <c r="V6" s="23">
        <v>1</v>
      </c>
      <c r="W6" s="23" t="s">
        <v>68</v>
      </c>
      <c r="X6" s="30">
        <f>I6-M6-P6</f>
        <v>-80</v>
      </c>
      <c r="Y6" s="31" t="e">
        <f>X6/I6</f>
        <v>#DIV/0!</v>
      </c>
      <c r="Z6" s="23" t="s">
        <v>39</v>
      </c>
      <c r="AA6" s="5"/>
      <c r="AB6" s="5" t="s">
        <v>69</v>
      </c>
      <c r="AC6" s="8" t="s">
        <v>70</v>
      </c>
      <c r="AD6" s="32">
        <v>88</v>
      </c>
      <c r="AE6" s="5"/>
    </row>
    <row r="7" s="2" customFormat="1" ht="28" customHeight="1" spans="1:31">
      <c r="A7" s="22">
        <v>46150</v>
      </c>
      <c r="B7" s="23" t="s">
        <v>71</v>
      </c>
      <c r="C7" s="23" t="s">
        <v>30</v>
      </c>
      <c r="D7" s="23" t="s">
        <v>72</v>
      </c>
      <c r="E7" s="23" t="s">
        <v>73</v>
      </c>
      <c r="F7" s="24"/>
      <c r="G7" s="23" t="s">
        <v>33</v>
      </c>
      <c r="H7" s="24"/>
      <c r="I7" s="25"/>
      <c r="J7" s="23"/>
      <c r="K7" s="23"/>
      <c r="L7" s="26"/>
      <c r="M7" s="25"/>
      <c r="N7" s="27"/>
      <c r="O7" s="27"/>
      <c r="P7" s="28" cm="1">
        <f t="array" ref="P7">_xlfn.IFNA(SUM(_wpsfn.REGEXP(Q7,"[\d.]+")*1,),0)</f>
        <v>80</v>
      </c>
      <c r="Q7" s="29" t="s">
        <v>66</v>
      </c>
      <c r="R7" s="23" t="s">
        <v>67</v>
      </c>
      <c r="S7" s="23">
        <v>327</v>
      </c>
      <c r="T7" s="23"/>
      <c r="U7" s="23"/>
      <c r="V7" s="23">
        <v>1</v>
      </c>
      <c r="W7" s="23">
        <v>326</v>
      </c>
      <c r="X7" s="30">
        <f>I7-M7-P7</f>
        <v>-80</v>
      </c>
      <c r="Y7" s="31" t="e">
        <f>X7/I7</f>
        <v>#DIV/0!</v>
      </c>
      <c r="Z7" s="23" t="s">
        <v>74</v>
      </c>
      <c r="AA7" s="5"/>
      <c r="AB7" s="5" t="s">
        <v>69</v>
      </c>
      <c r="AC7" s="8" t="s">
        <v>56</v>
      </c>
      <c r="AD7" s="32">
        <v>89</v>
      </c>
      <c r="AE7" s="5"/>
    </row>
    <row r="8" s="2" customFormat="1" ht="28" customHeight="1" spans="1:31">
      <c r="A8" s="22">
        <v>46150</v>
      </c>
      <c r="B8" s="23" t="s">
        <v>75</v>
      </c>
      <c r="C8" s="23" t="s">
        <v>76</v>
      </c>
      <c r="D8" s="23" t="s">
        <v>77</v>
      </c>
      <c r="E8" s="23" t="s">
        <v>78</v>
      </c>
      <c r="F8" s="24"/>
      <c r="G8" s="23" t="s">
        <v>45</v>
      </c>
      <c r="H8" s="24"/>
      <c r="I8" s="25"/>
      <c r="J8" s="23"/>
      <c r="K8" s="23"/>
      <c r="L8" s="26"/>
      <c r="M8" s="25"/>
      <c r="N8" s="27"/>
      <c r="O8" s="27"/>
      <c r="P8" s="28" cm="1">
        <f t="array" ref="P8">_xlfn.IFNA(SUM(_wpsfn.REGEXP(Q8,"[\d.]+")*1,),0)</f>
        <v>0</v>
      </c>
      <c r="Q8" s="29"/>
      <c r="R8" s="23"/>
      <c r="S8" s="23">
        <v>282</v>
      </c>
      <c r="T8" s="23"/>
      <c r="U8" s="23"/>
      <c r="V8" s="23">
        <v>1</v>
      </c>
      <c r="W8" s="23">
        <v>385</v>
      </c>
      <c r="X8" s="30">
        <f>I8-M8-P8</f>
        <v>0</v>
      </c>
      <c r="Y8" s="31" t="e">
        <f>X8/I8</f>
        <v>#DIV/0!</v>
      </c>
      <c r="Z8" s="23" t="s">
        <v>46</v>
      </c>
      <c r="AA8" s="5"/>
      <c r="AB8" s="5"/>
      <c r="AC8" s="8" t="s">
        <v>56</v>
      </c>
      <c r="AD8" s="32">
        <v>90</v>
      </c>
      <c r="AE8" s="5"/>
    </row>
    <row r="9" s="2" customFormat="1" ht="28" customHeight="1" spans="1:31">
      <c r="A9" s="22">
        <v>46150</v>
      </c>
      <c r="B9" s="23" t="s">
        <v>71</v>
      </c>
      <c r="C9" s="23" t="s">
        <v>79</v>
      </c>
      <c r="D9" s="23" t="s">
        <v>80</v>
      </c>
      <c r="E9" s="23" t="s">
        <v>81</v>
      </c>
      <c r="F9" s="24" t="s">
        <v>82</v>
      </c>
      <c r="G9" s="23" t="s">
        <v>83</v>
      </c>
      <c r="H9" s="24"/>
      <c r="I9" s="25"/>
      <c r="J9" s="23"/>
      <c r="K9" s="23"/>
      <c r="L9" s="26"/>
      <c r="M9" s="25">
        <v>463.46</v>
      </c>
      <c r="N9" s="27" t="s">
        <v>34</v>
      </c>
      <c r="O9" s="27" t="s">
        <v>35</v>
      </c>
      <c r="P9" s="28" cm="1">
        <f t="array" ref="P9">_xlfn.IFNA(SUM(_wpsfn.REGEXP(Q9,"[\d.]+")*1,),0)</f>
        <v>0</v>
      </c>
      <c r="Q9" s="29"/>
      <c r="R9" s="23"/>
      <c r="S9" s="23">
        <v>5.8</v>
      </c>
      <c r="T9" s="23"/>
      <c r="U9" s="23">
        <v>6</v>
      </c>
      <c r="V9" s="23">
        <v>1</v>
      </c>
      <c r="W9" s="23">
        <v>6</v>
      </c>
      <c r="X9" s="30">
        <f>I9-M9-P9</f>
        <v>-463.46</v>
      </c>
      <c r="Y9" s="31" t="e">
        <f>X9/I9</f>
        <v>#DIV/0!</v>
      </c>
      <c r="Z9" s="23" t="s">
        <v>84</v>
      </c>
      <c r="AA9" s="5"/>
      <c r="AB9" s="5"/>
      <c r="AC9" s="8" t="s">
        <v>40</v>
      </c>
      <c r="AD9" s="32">
        <v>91</v>
      </c>
      <c r="AE9" s="5"/>
    </row>
    <row r="10" s="2" customFormat="1" ht="28" customHeight="1" spans="1:31">
      <c r="A10" s="22">
        <v>46150</v>
      </c>
      <c r="B10" s="23" t="s">
        <v>29</v>
      </c>
      <c r="C10" s="23" t="s">
        <v>47</v>
      </c>
      <c r="D10" s="23" t="s">
        <v>85</v>
      </c>
      <c r="E10" s="23" t="s">
        <v>86</v>
      </c>
      <c r="F10" s="24"/>
      <c r="G10" s="23" t="s">
        <v>50</v>
      </c>
      <c r="H10" s="24"/>
      <c r="I10" s="25"/>
      <c r="J10" s="23"/>
      <c r="K10" s="23"/>
      <c r="L10" s="26"/>
      <c r="M10" s="25">
        <v>2331</v>
      </c>
      <c r="N10" s="27"/>
      <c r="O10" s="27"/>
      <c r="P10" s="28" cm="1">
        <f t="array" ref="P10">_xlfn.IFNA(SUM(_wpsfn.REGEXP(Q10,"[\d.]+")*1,),0)</f>
        <v>60</v>
      </c>
      <c r="Q10" s="29" t="s">
        <v>87</v>
      </c>
      <c r="R10" s="23"/>
      <c r="S10" s="23"/>
      <c r="T10" s="23"/>
      <c r="U10" s="23"/>
      <c r="V10" s="23">
        <v>1</v>
      </c>
      <c r="W10" s="23" t="s">
        <v>88</v>
      </c>
      <c r="X10" s="30">
        <f>I10-M10-P10</f>
        <v>-2391</v>
      </c>
      <c r="Y10" s="31" t="e">
        <f>X10/I10</f>
        <v>#DIV/0!</v>
      </c>
      <c r="Z10" s="23" t="s">
        <v>89</v>
      </c>
      <c r="AA10" s="5"/>
      <c r="AB10" s="5"/>
      <c r="AC10" s="8" t="s">
        <v>40</v>
      </c>
      <c r="AD10" s="32">
        <v>92</v>
      </c>
      <c r="AE10" s="5"/>
    </row>
    <row r="11" s="2" customFormat="1" ht="28" customHeight="1" spans="1:31">
      <c r="A11" s="22">
        <v>46150</v>
      </c>
      <c r="B11" s="23" t="s">
        <v>29</v>
      </c>
      <c r="C11" s="23" t="s">
        <v>47</v>
      </c>
      <c r="D11" s="23" t="s">
        <v>90</v>
      </c>
      <c r="E11" s="23" t="s">
        <v>91</v>
      </c>
      <c r="F11" s="24"/>
      <c r="G11" s="23" t="s">
        <v>45</v>
      </c>
      <c r="H11" s="24"/>
      <c r="I11" s="25">
        <v>6224.5</v>
      </c>
      <c r="J11" s="23" t="s">
        <v>51</v>
      </c>
      <c r="K11" s="23" t="s">
        <v>35</v>
      </c>
      <c r="L11" s="26" t="s">
        <v>52</v>
      </c>
      <c r="M11" s="25"/>
      <c r="N11" s="27"/>
      <c r="O11" s="27"/>
      <c r="P11" s="28" cm="1">
        <f t="array" ref="P11">_xlfn.IFNA(SUM(_wpsfn.REGEXP(Q11,"[\d.]+")*1,),0)</f>
        <v>0</v>
      </c>
      <c r="Q11" s="29"/>
      <c r="R11" s="23"/>
      <c r="S11" s="23">
        <v>260</v>
      </c>
      <c r="T11" s="23"/>
      <c r="U11" s="23"/>
      <c r="V11" s="23">
        <v>1</v>
      </c>
      <c r="W11" s="23">
        <v>572</v>
      </c>
      <c r="X11" s="30">
        <f>I11-M11-P11</f>
        <v>6224.5</v>
      </c>
      <c r="Y11" s="31">
        <f>X11/I11</f>
        <v>1</v>
      </c>
      <c r="Z11" s="23" t="s">
        <v>46</v>
      </c>
      <c r="AA11" s="5"/>
      <c r="AB11" s="5"/>
      <c r="AC11" s="8" t="s">
        <v>56</v>
      </c>
      <c r="AD11" s="32">
        <v>93</v>
      </c>
      <c r="AE11" s="5"/>
    </row>
    <row r="12" s="2" customFormat="1" ht="28" customHeight="1" spans="1:31">
      <c r="A12" s="22"/>
      <c r="B12" s="23"/>
      <c r="C12" s="23"/>
      <c r="D12" s="23"/>
      <c r="E12" s="23"/>
      <c r="F12" s="24"/>
      <c r="G12" s="23"/>
      <c r="H12" s="24"/>
      <c r="I12" s="25"/>
      <c r="J12" s="23"/>
      <c r="K12" s="23"/>
      <c r="L12" s="26"/>
      <c r="M12" s="25"/>
      <c r="N12" s="27"/>
      <c r="O12" s="27"/>
      <c r="P12" s="28" cm="1">
        <f t="array" ref="P12">_xlfn.IFNA(SUM(_wpsfn.REGEXP(Q12,"[\d.]+")*1,),0)</f>
        <v>0</v>
      </c>
      <c r="Q12" s="29"/>
      <c r="R12" s="23"/>
      <c r="S12" s="23"/>
      <c r="T12" s="23"/>
      <c r="U12" s="23"/>
      <c r="V12" s="23"/>
      <c r="W12" s="23"/>
      <c r="X12" s="30">
        <f>I12-M12-P12</f>
        <v>0</v>
      </c>
      <c r="Y12" s="31" t="e">
        <f>X12/I12</f>
        <v>#DIV/0!</v>
      </c>
      <c r="Z12" s="23"/>
      <c r="AA12" s="5"/>
      <c r="AB12" s="5"/>
      <c r="AC12" s="8"/>
      <c r="AD12" s="32">
        <v>142</v>
      </c>
      <c r="AE12" s="5"/>
    </row>
    <row r="13" s="2" customFormat="1" ht="28" customHeight="1" spans="1:31">
      <c r="A13" s="22"/>
      <c r="B13" s="23"/>
      <c r="C13" s="23"/>
      <c r="D13" s="23"/>
      <c r="E13" s="23"/>
      <c r="F13" s="24"/>
      <c r="G13" s="23"/>
      <c r="H13" s="24"/>
      <c r="I13" s="25"/>
      <c r="J13" s="23"/>
      <c r="K13" s="23"/>
      <c r="L13" s="26"/>
      <c r="M13" s="25"/>
      <c r="N13" s="27"/>
      <c r="O13" s="27"/>
      <c r="P13" s="28" cm="1">
        <f t="array" ref="P13">_xlfn.IFNA(SUM(_wpsfn.REGEXP(Q13,"[\d.]+")*1,),0)</f>
        <v>0</v>
      </c>
      <c r="Q13" s="29"/>
      <c r="R13" s="23"/>
      <c r="S13" s="23"/>
      <c r="T13" s="23"/>
      <c r="U13" s="23"/>
      <c r="V13" s="23"/>
      <c r="W13" s="23"/>
      <c r="X13" s="30">
        <f>I13-M13-P13</f>
        <v>0</v>
      </c>
      <c r="Y13" s="31" t="e">
        <f>X13/I13</f>
        <v>#DIV/0!</v>
      </c>
      <c r="Z13" s="23"/>
      <c r="AA13" s="5"/>
      <c r="AB13" s="5"/>
      <c r="AC13" s="8"/>
      <c r="AD13" s="32">
        <v>143</v>
      </c>
      <c r="AE13" s="5"/>
    </row>
    <row r="14" s="2" customFormat="1" ht="28" customHeight="1" spans="1:31">
      <c r="A14" s="22"/>
      <c r="B14" s="23"/>
      <c r="C14" s="23"/>
      <c r="D14" s="23"/>
      <c r="E14" s="23"/>
      <c r="F14" s="24"/>
      <c r="G14" s="23"/>
      <c r="H14" s="24"/>
      <c r="I14" s="25"/>
      <c r="J14" s="23"/>
      <c r="K14" s="23"/>
      <c r="L14" s="26"/>
      <c r="M14" s="25"/>
      <c r="N14" s="27"/>
      <c r="O14" s="27"/>
      <c r="P14" s="28" cm="1">
        <f t="array" ref="P14">_xlfn.IFNA(SUM(_wpsfn.REGEXP(Q14,"[\d.]+")*1,),0)</f>
        <v>0</v>
      </c>
      <c r="Q14" s="29"/>
      <c r="R14" s="23"/>
      <c r="S14" s="23"/>
      <c r="T14" s="23"/>
      <c r="U14" s="23"/>
      <c r="V14" s="23"/>
      <c r="W14" s="23"/>
      <c r="X14" s="30">
        <f>I14-M14-P14</f>
        <v>0</v>
      </c>
      <c r="Y14" s="31" t="e">
        <f>X14/I14</f>
        <v>#DIV/0!</v>
      </c>
      <c r="Z14" s="23"/>
      <c r="AA14" s="5"/>
      <c r="AB14" s="5"/>
      <c r="AC14" s="8"/>
      <c r="AD14" s="32">
        <v>144</v>
      </c>
      <c r="AE14" s="5"/>
    </row>
    <row r="15" s="2" customFormat="1" ht="28" customHeight="1" spans="1:31">
      <c r="A15" s="22"/>
      <c r="B15" s="23"/>
      <c r="C15" s="23"/>
      <c r="D15" s="23"/>
      <c r="E15" s="23"/>
      <c r="F15" s="24"/>
      <c r="G15" s="23"/>
      <c r="H15" s="24"/>
      <c r="I15" s="25"/>
      <c r="J15" s="23"/>
      <c r="K15" s="23"/>
      <c r="L15" s="26"/>
      <c r="M15" s="25"/>
      <c r="N15" s="27"/>
      <c r="O15" s="27"/>
      <c r="P15" s="28" cm="1">
        <f t="array" ref="P15">_xlfn.IFNA(SUM(_wpsfn.REGEXP(Q15,"[\d.]+")*1,),0)</f>
        <v>0</v>
      </c>
      <c r="Q15" s="29"/>
      <c r="R15" s="23"/>
      <c r="S15" s="23"/>
      <c r="T15" s="23"/>
      <c r="U15" s="23"/>
      <c r="V15" s="23"/>
      <c r="W15" s="23"/>
      <c r="X15" s="30">
        <f>I15-M15-P15</f>
        <v>0</v>
      </c>
      <c r="Y15" s="31" t="e">
        <f>X15/I15</f>
        <v>#DIV/0!</v>
      </c>
      <c r="Z15" s="23"/>
      <c r="AA15" s="5"/>
      <c r="AB15" s="5"/>
      <c r="AC15" s="8"/>
      <c r="AD15" s="32">
        <v>145</v>
      </c>
      <c r="AE15" s="5"/>
    </row>
  </sheetData>
  <autoFilter xmlns:etc="http://www.wps.cn/officeDocument/2017/etCustomData" ref="A1:BZT15" etc:filterBottomFollowUsedRange="0">
    <extLst/>
  </autoFilter>
  <conditionalFormatting sqref="M2">
    <cfRule type="expression" dxfId="0" priority="324">
      <formula>$I2:$I15&lt;$M2:$M15</formula>
    </cfRule>
  </conditionalFormatting>
  <conditionalFormatting sqref="M3">
    <cfRule type="expression" dxfId="0" priority="306">
      <formula>$I3:$I15&lt;$M3:$M15</formula>
    </cfRule>
  </conditionalFormatting>
  <conditionalFormatting sqref="M4">
    <cfRule type="expression" dxfId="0" priority="307">
      <formula>$I4:$I15&lt;$M4:$M15</formula>
    </cfRule>
  </conditionalFormatting>
  <conditionalFormatting sqref="M5">
    <cfRule type="expression" dxfId="0" priority="354">
      <formula>$I5:$I15&lt;$M5:$M15</formula>
    </cfRule>
  </conditionalFormatting>
  <conditionalFormatting sqref="M6">
    <cfRule type="expression" dxfId="0" priority="48">
      <formula>$I6:$I15&lt;$M6:$M15</formula>
    </cfRule>
  </conditionalFormatting>
  <conditionalFormatting sqref="M7">
    <cfRule type="expression" dxfId="0" priority="373">
      <formula>$I7:$I15&lt;$M7:$M15</formula>
    </cfRule>
  </conditionalFormatting>
  <conditionalFormatting sqref="M8">
    <cfRule type="expression" dxfId="0" priority="42">
      <formula>$I8:$I15&lt;$M8:$M15</formula>
    </cfRule>
  </conditionalFormatting>
  <conditionalFormatting sqref="M9">
    <cfRule type="expression" dxfId="0" priority="118">
      <formula>$I9:$I15&lt;$M9:$M15</formula>
    </cfRule>
  </conditionalFormatting>
  <conditionalFormatting sqref="M10">
    <cfRule type="expression" dxfId="0" priority="81">
      <formula>$I10:$I15&lt;$M10:$M15</formula>
    </cfRule>
  </conditionalFormatting>
  <conditionalFormatting sqref="M11">
    <cfRule type="expression" dxfId="0" priority="95">
      <formula>$I11:$I15&lt;$M11:$M15</formula>
    </cfRule>
  </conditionalFormatting>
  <conditionalFormatting sqref="I12">
    <cfRule type="cellIs" dxfId="1" priority="15" operator="lessThan">
      <formula>$M12</formula>
    </cfRule>
  </conditionalFormatting>
  <conditionalFormatting sqref="M12">
    <cfRule type="expression" dxfId="0" priority="16">
      <formula>$I12:$I15&lt;$M12:$M15</formula>
    </cfRule>
  </conditionalFormatting>
  <conditionalFormatting sqref="M13">
    <cfRule type="expression" dxfId="0" priority="115">
      <formula>$I13:$I15&lt;$M13:$M15</formula>
    </cfRule>
  </conditionalFormatting>
  <conditionalFormatting sqref="M14">
    <cfRule type="expression" dxfId="0" priority="110">
      <formula>$I12:$I15&lt;$M12:$M15</formula>
    </cfRule>
  </conditionalFormatting>
  <conditionalFormatting sqref="M15">
    <cfRule type="expression" dxfId="0" priority="107">
      <formula>$I15:$I15&lt;$M15:$M15</formula>
    </cfRule>
  </conditionalFormatting>
  <conditionalFormatting sqref="D1:D15">
    <cfRule type="duplicateValues" dxfId="2" priority="360"/>
  </conditionalFormatting>
  <conditionalFormatting sqref="I2:I8">
    <cfRule type="cellIs" dxfId="1" priority="302" operator="lessThan">
      <formula>$M2</formula>
    </cfRule>
  </conditionalFormatting>
  <conditionalFormatting sqref="I9:I11 I13:I15">
    <cfRule type="cellIs" dxfId="1" priority="80" operator="lessThan">
      <formula>$M9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别伟康</cp:lastModifiedBy>
  <dcterms:created xsi:type="dcterms:W3CDTF">2023-05-12T11:15:00Z</dcterms:created>
  <dcterms:modified xsi:type="dcterms:W3CDTF">2026-05-13T00:59:52Z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395D93359BC644C4A7EB9B95B914ECF0_12</vt:lpwstr>
  </property>
  <property fmtid="{D5CDD505-2E9C-101B-9397-08002B2CF9AE}" pid="4" name="CalculationRule">
    <vt:i4>0</vt:i4>
  </property>
</Properties>
</file>